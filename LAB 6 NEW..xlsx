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8_{77828523-4C88-4676-9064-6188DE76B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H2" i="1"/>
  <c r="H4" i="1"/>
  <c r="H5" i="1"/>
  <c r="H6" i="1"/>
  <c r="H7" i="1"/>
  <c r="H8" i="1"/>
  <c r="H9" i="1"/>
  <c r="H10" i="1"/>
  <c r="H11" i="1"/>
  <c r="H12" i="1"/>
  <c r="I2" i="1" a="1"/>
  <c r="I3" i="1" a="1"/>
  <c r="I5" i="1" a="1"/>
  <c r="I6" i="1" a="1"/>
  <c r="I7" i="1" a="1"/>
  <c r="I9" i="1" a="1"/>
  <c r="I10" i="1" a="1"/>
  <c r="I11" i="1" a="1"/>
  <c r="K2" i="1"/>
  <c r="K3" i="1"/>
  <c r="K4" i="1"/>
  <c r="K5" i="1"/>
  <c r="K6" i="1"/>
  <c r="K7" i="1"/>
  <c r="K8" i="1"/>
  <c r="K9" i="1"/>
  <c r="K10" i="1"/>
  <c r="K11" i="1"/>
  <c r="K12" i="1"/>
  <c r="E2" i="1" a="1"/>
  <c r="P14" i="1" a="1"/>
  <c r="L14" i="1"/>
  <c r="L10" i="1"/>
  <c r="L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<sst xmlns="http://schemas.openxmlformats.org/spreadsheetml/2006/main" count="40" uniqueCount="27">
  <si>
    <t>Employee</t>
  </si>
  <si>
    <t>Department</t>
  </si>
  <si>
    <t>Salary</t>
  </si>
  <si>
    <t>Sales</t>
  </si>
  <si>
    <t>Performance Score</t>
  </si>
  <si>
    <t>Rahul</t>
  </si>
  <si>
    <t>Priya</t>
  </si>
  <si>
    <t>HR</t>
  </si>
  <si>
    <t>Amit</t>
  </si>
  <si>
    <t>Sneha</t>
  </si>
  <si>
    <t>IT</t>
  </si>
  <si>
    <t>Karan</t>
  </si>
  <si>
    <t>Neha</t>
  </si>
  <si>
    <t>Rohit</t>
  </si>
  <si>
    <t>Pooja</t>
  </si>
  <si>
    <t>Akash</t>
  </si>
  <si>
    <t>Meena</t>
  </si>
  <si>
    <t>bonus</t>
  </si>
  <si>
    <t>SUMIF</t>
  </si>
  <si>
    <t>AVGIF</t>
  </si>
  <si>
    <t>COUNTIF</t>
  </si>
  <si>
    <t>I</t>
  </si>
  <si>
    <t>Column1</t>
  </si>
  <si>
    <t>Column2</t>
  </si>
  <si>
    <t>Column3</t>
  </si>
  <si>
    <t>NO</t>
  </si>
  <si>
    <t>YES DEPT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</si>
</sst>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ECC46C-CDEB-4DA8-995E-BF14044BCC74}" name="Table3" displayName="Table3" ref="G1:K12" totalsRowShown="0">
  <autoFilter ref="G1:K12" xr:uid="{6DECC46C-CDEB-4DA8-995E-BF14044BCC74}"/>
  <tableColumns count="5">
    <tableColumn id="1" xr3:uid="{1389A104-D15B-40AE-8EDB-25187CDF0AFB}" name="Performance Score" dataDxfId="9"/>
    <tableColumn id="5" xr3:uid="{3F248416-D564-424F-B222-C88E3080CAC2}" name="Column3" dataDxfId="8">
      <calculatedColumnFormula>IF(OR(B2="HR",A2="RAHUL"),"YES","NO")</calculatedColumnFormula>
    </tableColumn>
    <tableColumn id="4" xr3:uid="{3A01858C-F4F8-4CE4-84BE-DBA2B4A92718}" name="Column2" dataDxfId="7">
      <calculatedColumnFormula array="1">IF(B1="HR",YES DEPT EXIST,"NO DEPT EXISTS")</calculatedColumnFormula>
    </tableColumn>
    <tableColumn id="2" xr3:uid="{C15FBE85-F8F3-4C97-B820-72BA2DFE9F39}" name="bonus" dataDxfId="6"/>
    <tableColumn id="3" xr3:uid="{51404F42-9CDB-4DE2-82E5-C32E466BEDFC}" name="Column1" dataDxfId="5">
      <calculatedColumnFormula>IF(G2&gt;90,"A",IF(G2&gt;76,"B",IF(G2&lt;76,"C")))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A5DEEB-C0EA-4114-9785-1EA3641966C6}" name="Table4" displayName="Table4" ref="F1:F13" totalsRowShown="0" headerRowDxfId="4" dataDxfId="2" headerRowBorderDxfId="3" tableBorderDxfId="1">
  <autoFilter ref="F1:F13" xr:uid="{77A5DEEB-C0EA-4114-9785-1EA3641966C6}"/>
  <tableColumns count="1">
    <tableColumn id="1" xr3:uid="{D2B72013-4AE4-4C95-AB9F-081F767766AF}" name="Column1" dataDxfId="0">
      <calculatedColumnFormula>IF(AND(B1="SALES",A1="RAHUL"),"YES,","NO")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="91" zoomScaleNormal="91" workbookViewId="0">
      <selection activeCell="I15" sqref="I15"/>
    </sheetView>
  </sheetViews>
  <sheetFormatPr defaultColWidth="8.88671875" defaultRowHeight="14.4"/>
  <cols>
    <col min="1" max="1" width="14" customWidth="1"/>
    <col min="2" max="2" width="15.6640625" customWidth="1"/>
    <col min="3" max="3" width="13.44140625" customWidth="1"/>
    <col min="4" max="6" width="12.33203125" customWidth="1"/>
    <col min="7" max="9" width="18.5546875" customWidth="1"/>
    <col min="10" max="10" width="12.77734375" customWidth="1"/>
    <col min="11" max="11" width="9.88671875" customWidth="1"/>
    <col min="12" max="12" width="11.77734375" customWidth="1"/>
    <col min="14" max="14" width="12.6640625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/>
      <c r="F1" s="20" t="s">
        <v>22</v>
      </c>
      <c r="G1" s="3" t="s">
        <v>4</v>
      </c>
      <c r="H1" s="13" t="s">
        <v>24</v>
      </c>
      <c r="I1" s="13" t="s">
        <v>23</v>
      </c>
      <c r="J1" s="13" t="s">
        <v>17</v>
      </c>
      <c r="K1" s="13" t="s">
        <v>22</v>
      </c>
    </row>
    <row r="2" spans="1:16">
      <c r="A2" s="4" t="s">
        <v>5</v>
      </c>
      <c r="B2" s="5" t="s">
        <v>3</v>
      </c>
      <c r="C2" s="5">
        <v>35000</v>
      </c>
      <c r="D2" s="5">
        <v>85000</v>
      </c>
      <c r="E2" s="5" t="str" cm="1">
        <f t="array" ref="E2:E12">IF(B2:B12&gt;16000,"GOOD","BAD")</f>
        <v>GOOD</v>
      </c>
      <c r="F2" s="22"/>
      <c r="G2" s="6">
        <v>82</v>
      </c>
      <c r="H2" s="14" t="str">
        <f t="shared" ref="H2:H12" si="0">IF(OR(B2="HR",A2="RAHUL"),"YES","NO")</f>
        <v>YES</v>
      </c>
      <c r="I2" s="14" t="str" cm="1">
        <f t="array" ref="I2">IF(B1="HR",YES DEPT EXIST,"NO DEPT EXISTS")</f>
        <v>NO DEPT EXISTS</v>
      </c>
      <c r="J2" s="14">
        <v>25</v>
      </c>
      <c r="K2" s="16" t="str">
        <f t="shared" ref="K2:K12" si="1">IF(G2&gt;90,"A",IF(G2&gt;76,"B",IF(G2&lt;76,"C")))</f>
        <v>B</v>
      </c>
    </row>
    <row r="3" spans="1:16">
      <c r="A3" s="7" t="s">
        <v>6</v>
      </c>
      <c r="B3" s="8" t="s">
        <v>7</v>
      </c>
      <c r="C3" s="8">
        <v>40000</v>
      </c>
      <c r="D3" s="8">
        <v>60000</v>
      </c>
      <c r="E3" s="8" t="str">
        <v>GOOD</v>
      </c>
      <c r="F3" s="5" t="str">
        <f t="shared" ref="F2:F13" si="2">IF(AND(B2="SALES",A2="RAHUL"),"YES,","NO")</f>
        <v>YES,</v>
      </c>
      <c r="G3" s="9">
        <v>75</v>
      </c>
      <c r="H3" s="15" t="s">
        <v>25</v>
      </c>
      <c r="I3" s="15" t="str" cm="1">
        <f t="array" ref="I3">IF(B2="HR",YES DEPT EXIST,"NO DEPT EXISTS")</f>
        <v>NO DEPT EXISTS</v>
      </c>
      <c r="J3" s="15">
        <v>25</v>
      </c>
      <c r="K3" t="str">
        <f t="shared" si="1"/>
        <v>C</v>
      </c>
      <c r="N3" s="16"/>
    </row>
    <row r="4" spans="1:16">
      <c r="A4" s="4" t="s">
        <v>8</v>
      </c>
      <c r="B4" s="5" t="s">
        <v>3</v>
      </c>
      <c r="C4" s="5">
        <v>45000</v>
      </c>
      <c r="D4" s="5">
        <v>95000</v>
      </c>
      <c r="E4" s="5" t="str">
        <v>GOOD</v>
      </c>
      <c r="F4" s="8" t="str">
        <f t="shared" si="2"/>
        <v>NO</v>
      </c>
      <c r="G4" s="6">
        <v>91</v>
      </c>
      <c r="H4" s="14" t="str">
        <f t="shared" si="0"/>
        <v>NO</v>
      </c>
      <c r="I4" s="14" t="s">
        <v>26</v>
      </c>
      <c r="J4" s="14">
        <v>78</v>
      </c>
      <c r="K4" t="str">
        <f t="shared" si="1"/>
        <v>A</v>
      </c>
    </row>
    <row r="5" spans="1:16">
      <c r="A5" s="7" t="s">
        <v>9</v>
      </c>
      <c r="B5" s="8" t="s">
        <v>10</v>
      </c>
      <c r="C5" s="8">
        <v>50000</v>
      </c>
      <c r="D5" s="8">
        <v>70000</v>
      </c>
      <c r="E5" s="8" t="str">
        <v>GOOD</v>
      </c>
      <c r="F5" s="5" t="str">
        <f t="shared" si="2"/>
        <v>NO</v>
      </c>
      <c r="G5" s="9">
        <v>88</v>
      </c>
      <c r="H5" s="15" t="str">
        <f t="shared" si="0"/>
        <v>NO</v>
      </c>
      <c r="I5" s="15" t="str" cm="1">
        <f t="array" ref="I5">IF(B4="HR",YES DEPT EXIST,"NO DEPT EXISTS")</f>
        <v>NO DEPT EXISTS</v>
      </c>
      <c r="J5" s="15">
        <v>20</v>
      </c>
      <c r="K5" t="str">
        <f t="shared" si="1"/>
        <v>B</v>
      </c>
      <c r="L5" s="18" t="s">
        <v>18</v>
      </c>
      <c r="P5" s="19" t="s">
        <v>21</v>
      </c>
    </row>
    <row r="6" spans="1:16">
      <c r="A6" s="4" t="s">
        <v>11</v>
      </c>
      <c r="B6" s="5" t="s">
        <v>3</v>
      </c>
      <c r="C6" s="5">
        <v>38000</v>
      </c>
      <c r="D6" s="5">
        <v>78000</v>
      </c>
      <c r="E6" s="5" t="str">
        <v>GOOD</v>
      </c>
      <c r="F6" s="8" t="str">
        <f t="shared" si="2"/>
        <v>NO</v>
      </c>
      <c r="G6" s="6">
        <v>72</v>
      </c>
      <c r="H6" s="14" t="str">
        <f t="shared" si="0"/>
        <v>NO</v>
      </c>
      <c r="I6" s="14" t="str" cm="1">
        <f t="array" ref="I6">IF(B5="HR",YES DEPT EXIST,"NO DEPT EXISTS")</f>
        <v>NO DEPT EXISTS</v>
      </c>
      <c r="J6" s="14">
        <v>36</v>
      </c>
      <c r="K6" t="str">
        <f t="shared" si="1"/>
        <v>C</v>
      </c>
      <c r="L6" s="17">
        <f>SUMIF(B2:B12,"SALES",D2:D12)</f>
        <v>415000</v>
      </c>
    </row>
    <row r="7" spans="1:16">
      <c r="A7" s="7" t="s">
        <v>12</v>
      </c>
      <c r="B7" s="8" t="s">
        <v>7</v>
      </c>
      <c r="C7" s="8">
        <v>42000</v>
      </c>
      <c r="D7" s="8">
        <v>65000</v>
      </c>
      <c r="E7" s="8" t="str">
        <v>GOOD</v>
      </c>
      <c r="F7" s="5" t="str">
        <f t="shared" si="2"/>
        <v>NO</v>
      </c>
      <c r="G7" s="9">
        <v>80</v>
      </c>
      <c r="H7" s="15" t="str">
        <f t="shared" si="0"/>
        <v>YES</v>
      </c>
      <c r="I7" s="15" t="str" cm="1">
        <f t="array" ref="I7">IF(B6="HR",YES DEPT EXIST,"NO DEPT EXISTS")</f>
        <v>NO DEPT EXISTS</v>
      </c>
      <c r="J7" s="15">
        <v>54</v>
      </c>
      <c r="K7" t="str">
        <f t="shared" si="1"/>
        <v>B</v>
      </c>
      <c r="L7" s="17"/>
    </row>
    <row r="8" spans="1:16">
      <c r="A8" s="4" t="s">
        <v>13</v>
      </c>
      <c r="B8" s="5" t="s">
        <v>10</v>
      </c>
      <c r="C8" s="5">
        <v>55000</v>
      </c>
      <c r="D8" s="5">
        <v>105000</v>
      </c>
      <c r="E8" s="5" t="str">
        <v>GOOD</v>
      </c>
      <c r="F8" s="8" t="str">
        <f t="shared" si="2"/>
        <v>NO</v>
      </c>
      <c r="G8" s="6">
        <v>95</v>
      </c>
      <c r="H8" s="14" t="str">
        <f t="shared" si="0"/>
        <v>NO</v>
      </c>
      <c r="I8" s="14" t="s">
        <v>26</v>
      </c>
      <c r="J8" s="14">
        <v>14</v>
      </c>
      <c r="K8" t="str">
        <f t="shared" si="1"/>
        <v>A</v>
      </c>
      <c r="L8" s="17"/>
    </row>
    <row r="9" spans="1:16">
      <c r="A9" s="7" t="s">
        <v>14</v>
      </c>
      <c r="B9" s="8" t="s">
        <v>3</v>
      </c>
      <c r="C9" s="8">
        <v>36000</v>
      </c>
      <c r="D9" s="8">
        <v>72000</v>
      </c>
      <c r="E9" s="8" t="str">
        <v>GOOD</v>
      </c>
      <c r="F9" s="5" t="str">
        <f t="shared" si="2"/>
        <v>NO</v>
      </c>
      <c r="G9" s="9">
        <v>68</v>
      </c>
      <c r="H9" s="15" t="str">
        <f t="shared" si="0"/>
        <v>NO</v>
      </c>
      <c r="I9" s="15" t="str" cm="1">
        <f t="array" ref="I9">IF(B8="HR",YES DEPT EXIST,"NO DEPT EXISTS")</f>
        <v>NO DEPT EXISTS</v>
      </c>
      <c r="J9" s="15">
        <v>24</v>
      </c>
      <c r="K9" t="str">
        <f t="shared" si="1"/>
        <v>C</v>
      </c>
      <c r="L9" s="18" t="s">
        <v>19</v>
      </c>
    </row>
    <row r="10" spans="1:16">
      <c r="A10" s="4" t="s">
        <v>15</v>
      </c>
      <c r="B10" s="5" t="s">
        <v>10</v>
      </c>
      <c r="C10" s="5">
        <v>48000</v>
      </c>
      <c r="D10" s="5">
        <v>90000</v>
      </c>
      <c r="E10" s="5" t="str">
        <v>GOOD</v>
      </c>
      <c r="F10" s="8" t="str">
        <f t="shared" si="2"/>
        <v>NO</v>
      </c>
      <c r="G10" s="6">
        <v>85</v>
      </c>
      <c r="H10" s="14" t="str">
        <f t="shared" si="0"/>
        <v>NO</v>
      </c>
      <c r="I10" s="14" t="str" cm="1">
        <f t="array" ref="I10">IF(B9="HR",YES DEPT EXIST,"NO DEPT EXISTS")</f>
        <v>NO DEPT EXISTS</v>
      </c>
      <c r="J10" s="14">
        <v>58</v>
      </c>
      <c r="K10" t="str">
        <f t="shared" si="1"/>
        <v>B</v>
      </c>
      <c r="L10" s="17">
        <f>AVERAGEIF(B2:B12,"SALES",D2:D12)</f>
        <v>83000</v>
      </c>
    </row>
    <row r="11" spans="1:16">
      <c r="A11" s="7" t="s">
        <v>16</v>
      </c>
      <c r="B11" s="8" t="s">
        <v>7</v>
      </c>
      <c r="C11" s="8">
        <v>39000</v>
      </c>
      <c r="D11" s="8">
        <v>58000</v>
      </c>
      <c r="E11" s="8" t="str">
        <v>GOOD</v>
      </c>
      <c r="F11" s="5" t="str">
        <f t="shared" si="2"/>
        <v>NO</v>
      </c>
      <c r="G11" s="9">
        <v>70</v>
      </c>
      <c r="H11" s="15" t="str">
        <f t="shared" si="0"/>
        <v>YES</v>
      </c>
      <c r="I11" s="15" t="str" cm="1">
        <f t="array" ref="I11">IF(B10="HR",YES DEPT EXIST,"NO DEPT EXISTS")</f>
        <v>NO DEPT EXISTS</v>
      </c>
      <c r="J11" s="15">
        <v>34</v>
      </c>
      <c r="K11" t="str">
        <f t="shared" si="1"/>
        <v>C</v>
      </c>
      <c r="L11" s="17"/>
    </row>
    <row r="12" spans="1:16">
      <c r="A12" s="10" t="s">
        <v>5</v>
      </c>
      <c r="B12" s="11" t="s">
        <v>3</v>
      </c>
      <c r="C12" s="11">
        <v>35000</v>
      </c>
      <c r="D12" s="11">
        <v>85000</v>
      </c>
      <c r="E12" s="11" t="str">
        <v>GOOD</v>
      </c>
      <c r="F12" s="8" t="str">
        <f t="shared" si="2"/>
        <v>NO</v>
      </c>
      <c r="G12" s="12">
        <v>82</v>
      </c>
      <c r="H12" s="14" t="str">
        <f t="shared" si="0"/>
        <v>YES</v>
      </c>
      <c r="I12" s="14" t="s">
        <v>26</v>
      </c>
      <c r="J12" s="14">
        <v>51</v>
      </c>
      <c r="K12" t="str">
        <f t="shared" si="1"/>
        <v>B</v>
      </c>
      <c r="L12" s="17"/>
    </row>
    <row r="13" spans="1:16">
      <c r="F13" s="21" t="str">
        <f t="shared" si="2"/>
        <v>YES,</v>
      </c>
      <c r="L13" s="18" t="s">
        <v>20</v>
      </c>
      <c r="P13" s="19"/>
    </row>
    <row r="14" spans="1:16">
      <c r="L14" s="17">
        <f>COUNTIF(B2:B12,"SALES")</f>
        <v>5</v>
      </c>
      <c r="P14" cm="1">
        <f t="array" ref="P14">COUNTIFS(B2:B12,SALES,A2:A12,RAHUL)</f>
        <v>0</v>
      </c>
    </row>
  </sheetData>
  <pageMargins left="0.75" right="0.75" top="1" bottom="1" header="0.5" footer="0.5"/>
  <pageSetup paperSize="9" orientation="landscape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sunny mujumale</cp:lastModifiedBy>
  <dcterms:created xsi:type="dcterms:W3CDTF">2026-10-07T04:46:25Z</dcterms:created>
  <dcterms:modified xsi:type="dcterms:W3CDTF">2026-10-15T11:05:56Z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C966600769CA478EBCBC0AC4EC9F96A9_11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